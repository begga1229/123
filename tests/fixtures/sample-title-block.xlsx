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едомость" state="visible" r:id="rId4"/>
  </sheets>
  <calcPr calcId="171027"/>
</workbook>
</file>

<file path=xl/sharedStrings.xml><?xml version="1.0" encoding="utf-8"?>
<sst xmlns="http://schemas.openxmlformats.org/spreadsheetml/2006/main" count="106" uniqueCount="56">
  <si>
    <t>Детализированная ведомость объёмов и стоимости работ</t>
  </si>
  <si>
    <t>Площадка:</t>
  </si>
  <si>
    <t>Обогатительная фабрика, корпус 3</t>
  </si>
  <si>
    <t>Шифр КВ:</t>
  </si>
  <si>
    <t>26.01.02.105</t>
  </si>
  <si>
    <t>Объект:</t>
  </si>
  <si>
    <t>Монтаж электрооборудования и освещения</t>
  </si>
  <si>
    <t>Дата составления:</t>
  </si>
  <si>
    <t>№</t>
  </si>
  <si>
    <t>Наименование работ</t>
  </si>
  <si>
    <t>Ед. изм</t>
  </si>
  <si>
    <t>Кол-во</t>
  </si>
  <si>
    <t>Цена</t>
  </si>
  <si>
    <t>Стоимость</t>
  </si>
  <si>
    <t>Примечание</t>
  </si>
  <si>
    <t>Монтаж щитов электрических</t>
  </si>
  <si>
    <t>шт</t>
  </si>
  <si>
    <t>замена материала</t>
  </si>
  <si>
    <t>Прокладка кабеля ВВГнг 3x2,5</t>
  </si>
  <si>
    <t>м</t>
  </si>
  <si>
    <t/>
  </si>
  <si>
    <t>Прокладка кабеля ВВГнг 5x6</t>
  </si>
  <si>
    <t>Установка светильников светодиодных</t>
  </si>
  <si>
    <t>Монтаж кабельного лотка 200 мм</t>
  </si>
  <si>
    <t>Монтаж розеток двойных</t>
  </si>
  <si>
    <t>Монтаж выключателей</t>
  </si>
  <si>
    <t>Установка автоматов защиты</t>
  </si>
  <si>
    <t>Заземление оборудования</t>
  </si>
  <si>
    <t>точка</t>
  </si>
  <si>
    <t>Пусконаладочные работы</t>
  </si>
  <si>
    <t>компл.</t>
  </si>
  <si>
    <t>Монтаж трансформатора 10/0,4 кВ</t>
  </si>
  <si>
    <t>Устройство кабельных проходок</t>
  </si>
  <si>
    <t>Прокладка гофротрубы 20 мм</t>
  </si>
  <si>
    <t>Монтаж датчиков движения</t>
  </si>
  <si>
    <t>Испытание кабельных линий</t>
  </si>
  <si>
    <t>линия</t>
  </si>
  <si>
    <t>Монтаж щитов электрических (этап 2)</t>
  </si>
  <si>
    <t>по РД</t>
  </si>
  <si>
    <t>Прокладка кабеля ВВГнг 3x2,5 (этап 2)</t>
  </si>
  <si>
    <t>Прокладка кабеля ВВГнг 5x6 (этап 2)</t>
  </si>
  <si>
    <t>уточнить объём</t>
  </si>
  <si>
    <t>Установка светильников светодиодных (этап 2)</t>
  </si>
  <si>
    <t>Монтаж кабельного лотка 200 мм (этап 2)</t>
  </si>
  <si>
    <t>Монтаж розеток двойных (этап 2)</t>
  </si>
  <si>
    <t>Монтаж выключателей (этап 2)</t>
  </si>
  <si>
    <t>Установка автоматов защиты (этап 2)</t>
  </si>
  <si>
    <t>Заземление оборудования (этап 2)</t>
  </si>
  <si>
    <t>Пусконаладочные работы (этап 2)</t>
  </si>
  <si>
    <t>акт скрытых работ</t>
  </si>
  <si>
    <t>Монтаж трансформатора 10/0,4 кВ (этап 2)</t>
  </si>
  <si>
    <t>Устройство кабельных проходок (этап 2)</t>
  </si>
  <si>
    <t>Прокладка гофротрубы 20 мм (этап 2)</t>
  </si>
  <si>
    <t>Монтаж датчиков движения (этап 2)</t>
  </si>
  <si>
    <t>Испытание кабельных линий (этап 2)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</si>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</sst>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1F3A2A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B89A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4" fontId="1" fillId="0" borderId="0" xfId="0" applyNumberFormat="1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6" customWidth="1"/>
    <col min="2" max="2" width="42" customWidth="1"/>
    <col min="3" max="4" width="10" customWidth="1"/>
    <col min="5" max="5" width="14" style="1" customWidth="1"/>
    <col min="6" max="6" width="16" style="1" customWidth="1"/>
    <col min="7" max="7" width="22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6" x14ac:dyDescent="0.25">
      <c r="A2" s="3" t="s">
        <v>1</v>
      </c>
      <c r="B2" t="s">
        <v>2</v>
      </c>
      <c r="E2" s="1"/>
      <c r="F2" s="1"/>
    </row>
    <row r="3" spans="1:6" x14ac:dyDescent="0.25">
      <c r="A3" s="3" t="s">
        <v>3</v>
      </c>
      <c r="B3" t="s">
        <v>4</v>
      </c>
      <c r="E3" s="1"/>
      <c r="F3" s="1"/>
    </row>
    <row r="4" spans="1:6" x14ac:dyDescent="0.25">
      <c r="A4" s="3" t="s">
        <v>5</v>
      </c>
      <c r="B4" t="s">
        <v>6</v>
      </c>
      <c r="E4" s="1"/>
      <c r="F4" s="1"/>
    </row>
    <row r="5" spans="1:6" x14ac:dyDescent="0.25">
      <c r="A5" s="3" t="s">
        <v>7</v>
      </c>
      <c r="B5" s="4">
        <v>45730</v>
      </c>
      <c r="E5" s="1"/>
      <c r="F5" s="1"/>
    </row>
    <row r="7" ht="22" customHeight="1" spans="1:7" x14ac:dyDescent="0.25">
      <c r="A7" s="5" t="s">
        <v>8</v>
      </c>
      <c r="B7" s="5" t="s">
        <v>9</v>
      </c>
      <c r="C7" s="5" t="s">
        <v>10</v>
      </c>
      <c r="D7" s="5" t="s">
        <v>11</v>
      </c>
      <c r="E7" s="6" t="s">
        <v>12</v>
      </c>
      <c r="F7" s="6" t="s">
        <v>13</v>
      </c>
      <c r="G7" s="5" t="s">
        <v>14</v>
      </c>
    </row>
    <row r="8" spans="1:7" x14ac:dyDescent="0.25">
      <c r="A8">
        <v>1</v>
      </c>
      <c r="B8" t="s">
        <v>15</v>
      </c>
      <c r="C8" t="s">
        <v>16</v>
      </c>
      <c r="D8">
        <v>1200</v>
      </c>
      <c r="E8" s="1">
        <v>450</v>
      </c>
      <c r="F8" s="1">
        <f>D8*E8</f>
        <v>540000</v>
      </c>
      <c r="G8" t="s">
        <v>17</v>
      </c>
    </row>
    <row r="9" spans="1:7" x14ac:dyDescent="0.25">
      <c r="A9">
        <v>2</v>
      </c>
      <c r="B9" t="s">
        <v>18</v>
      </c>
      <c r="C9" t="s">
        <v>19</v>
      </c>
      <c r="D9">
        <v>32</v>
      </c>
      <c r="E9" s="1">
        <v>18.5</v>
      </c>
      <c r="F9" s="1">
        <f>D9*E9</f>
        <v>592</v>
      </c>
      <c r="G9" t="s">
        <v>20</v>
      </c>
    </row>
    <row r="10" spans="1:7" x14ac:dyDescent="0.25">
      <c r="A10">
        <v>3</v>
      </c>
      <c r="B10" t="s">
        <v>21</v>
      </c>
      <c r="C10" t="s">
        <v>19</v>
      </c>
      <c r="D10">
        <v>48.6</v>
      </c>
      <c r="E10" s="1">
        <v>41</v>
      </c>
      <c r="F10" s="1">
        <f>D10*E10</f>
        <v>1992.6</v>
      </c>
      <c r="G10" t="s">
        <v>20</v>
      </c>
    </row>
    <row r="11" spans="1:7" x14ac:dyDescent="0.25">
      <c r="A11">
        <v>4</v>
      </c>
      <c r="B11" t="s">
        <v>22</v>
      </c>
      <c r="C11" t="s">
        <v>16</v>
      </c>
      <c r="D11">
        <v>975</v>
      </c>
      <c r="E11" s="1">
        <v>310</v>
      </c>
      <c r="F11" s="1">
        <f>D11*E11</f>
        <v>302250</v>
      </c>
      <c r="G11" t="s">
        <v>20</v>
      </c>
    </row>
    <row r="12" spans="1:7" x14ac:dyDescent="0.25">
      <c r="A12">
        <v>5</v>
      </c>
      <c r="B12" t="s">
        <v>23</v>
      </c>
      <c r="C12" t="s">
        <v>19</v>
      </c>
      <c r="D12">
        <v>540</v>
      </c>
      <c r="E12" s="1">
        <v>265</v>
      </c>
      <c r="F12" s="1">
        <f>D12*E12</f>
        <v>143100</v>
      </c>
      <c r="G12" t="s">
        <v>17</v>
      </c>
    </row>
    <row r="13" spans="1:7" x14ac:dyDescent="0.25">
      <c r="A13">
        <v>6</v>
      </c>
      <c r="B13" t="s">
        <v>24</v>
      </c>
      <c r="C13" t="s">
        <v>16</v>
      </c>
      <c r="D13">
        <v>140</v>
      </c>
      <c r="E13" s="1">
        <v>95</v>
      </c>
      <c r="F13" s="1">
        <f>D13*E13</f>
        <v>13300</v>
      </c>
      <c r="G13" t="s">
        <v>20</v>
      </c>
    </row>
    <row r="14" spans="1:7" x14ac:dyDescent="0.25">
      <c r="A14">
        <v>7</v>
      </c>
      <c r="B14" t="s">
        <v>25</v>
      </c>
      <c r="C14" t="s">
        <v>16</v>
      </c>
      <c r="D14">
        <v>120</v>
      </c>
      <c r="E14" s="1">
        <v>88</v>
      </c>
      <c r="F14" s="1">
        <f>D14*E14</f>
        <v>10560</v>
      </c>
      <c r="G14" t="s">
        <v>20</v>
      </c>
    </row>
    <row r="15" spans="1:7" x14ac:dyDescent="0.25">
      <c r="A15">
        <v>8</v>
      </c>
      <c r="B15" t="s">
        <v>26</v>
      </c>
      <c r="C15" t="s">
        <v>16</v>
      </c>
      <c r="D15">
        <v>350</v>
      </c>
      <c r="E15" s="1">
        <v>210</v>
      </c>
      <c r="F15" s="1">
        <f>D15*E15</f>
        <v>73500</v>
      </c>
      <c r="G15" t="s">
        <v>20</v>
      </c>
    </row>
    <row r="16" spans="1:7" x14ac:dyDescent="0.25">
      <c r="A16">
        <v>9</v>
      </c>
      <c r="B16" t="s">
        <v>27</v>
      </c>
      <c r="C16" t="s">
        <v>28</v>
      </c>
      <c r="D16">
        <v>460</v>
      </c>
      <c r="E16" s="1">
        <v>180</v>
      </c>
      <c r="F16" s="1">
        <f>D16*E16</f>
        <v>82800</v>
      </c>
      <c r="G16" t="s">
        <v>20</v>
      </c>
    </row>
    <row r="17" spans="1:7" x14ac:dyDescent="0.25">
      <c r="A17">
        <v>10</v>
      </c>
      <c r="B17" t="s">
        <v>29</v>
      </c>
      <c r="C17" t="s">
        <v>30</v>
      </c>
      <c r="D17">
        <v>1</v>
      </c>
      <c r="E17" s="1">
        <v>12500</v>
      </c>
      <c r="F17" s="1">
        <f>D17*E17</f>
        <v>12500</v>
      </c>
      <c r="G17" t="s">
        <v>20</v>
      </c>
    </row>
    <row r="18" spans="1:7" x14ac:dyDescent="0.25">
      <c r="A18">
        <v>11</v>
      </c>
      <c r="B18" t="s">
        <v>31</v>
      </c>
      <c r="C18" t="s">
        <v>16</v>
      </c>
      <c r="D18">
        <v>2</v>
      </c>
      <c r="E18" s="1">
        <v>185000</v>
      </c>
      <c r="F18" s="1">
        <f>D18*E18</f>
        <v>370000</v>
      </c>
      <c r="G18" t="s">
        <v>17</v>
      </c>
    </row>
    <row r="19" spans="1:7" x14ac:dyDescent="0.25">
      <c r="A19">
        <v>12</v>
      </c>
      <c r="B19" t="s">
        <v>32</v>
      </c>
      <c r="C19" t="s">
        <v>16</v>
      </c>
      <c r="D19">
        <v>36</v>
      </c>
      <c r="E19" s="1">
        <v>740</v>
      </c>
      <c r="F19" s="1">
        <f>D19*E19</f>
        <v>26640</v>
      </c>
      <c r="G19" t="s">
        <v>20</v>
      </c>
    </row>
    <row r="20" spans="1:7" x14ac:dyDescent="0.25">
      <c r="A20">
        <v>13</v>
      </c>
      <c r="B20" t="s">
        <v>33</v>
      </c>
      <c r="C20" t="s">
        <v>19</v>
      </c>
      <c r="D20">
        <v>1200</v>
      </c>
      <c r="E20" s="1">
        <v>9.8</v>
      </c>
      <c r="F20" s="1">
        <f>D20*E20</f>
        <v>11760</v>
      </c>
      <c r="G20" t="s">
        <v>20</v>
      </c>
    </row>
    <row r="21" spans="1:7" x14ac:dyDescent="0.25">
      <c r="A21">
        <v>14</v>
      </c>
      <c r="B21" t="s">
        <v>34</v>
      </c>
      <c r="C21" t="s">
        <v>16</v>
      </c>
      <c r="D21">
        <v>44</v>
      </c>
      <c r="E21" s="1">
        <v>1150</v>
      </c>
      <c r="F21" s="1">
        <f>D21*E21</f>
        <v>50600</v>
      </c>
      <c r="G21" t="s">
        <v>20</v>
      </c>
    </row>
    <row r="22" spans="1:7" x14ac:dyDescent="0.25">
      <c r="A22">
        <v>15</v>
      </c>
      <c r="B22" t="s">
        <v>35</v>
      </c>
      <c r="C22" t="s">
        <v>36</v>
      </c>
      <c r="D22">
        <v>28</v>
      </c>
      <c r="E22" s="1">
        <v>2300</v>
      </c>
      <c r="F22" s="1">
        <f>D22*E22</f>
        <v>64400</v>
      </c>
      <c r="G22" t="s">
        <v>20</v>
      </c>
    </row>
    <row r="23" spans="1:7" x14ac:dyDescent="0.25">
      <c r="A23">
        <v>16</v>
      </c>
      <c r="B23" t="s">
        <v>37</v>
      </c>
      <c r="C23" t="s">
        <v>16</v>
      </c>
      <c r="D23">
        <v>807</v>
      </c>
      <c r="E23" s="1">
        <v>446.63</v>
      </c>
      <c r="F23" s="1">
        <f>D23*E23</f>
        <v>360430.41</v>
      </c>
      <c r="G23" t="s">
        <v>38</v>
      </c>
    </row>
    <row r="24" spans="1:7" x14ac:dyDescent="0.25">
      <c r="A24">
        <v>17</v>
      </c>
      <c r="B24" t="s">
        <v>39</v>
      </c>
      <c r="C24" t="s">
        <v>19</v>
      </c>
      <c r="D24">
        <v>28</v>
      </c>
      <c r="E24" s="1">
        <v>17.91</v>
      </c>
      <c r="F24" s="1">
        <f>D24*E24</f>
        <v>501.48</v>
      </c>
      <c r="G24" t="s">
        <v>20</v>
      </c>
    </row>
    <row r="25" spans="1:7" x14ac:dyDescent="0.25">
      <c r="A25">
        <v>18</v>
      </c>
      <c r="B25" t="s">
        <v>40</v>
      </c>
      <c r="C25" t="s">
        <v>19</v>
      </c>
      <c r="D25">
        <v>62</v>
      </c>
      <c r="E25" s="1">
        <v>38.62</v>
      </c>
      <c r="F25" s="1">
        <f>D25*E25</f>
        <v>2394.44</v>
      </c>
      <c r="G25" t="s">
        <v>41</v>
      </c>
    </row>
    <row r="26" spans="1:7" x14ac:dyDescent="0.25">
      <c r="A26">
        <v>19</v>
      </c>
      <c r="B26" t="s">
        <v>42</v>
      </c>
      <c r="C26" t="s">
        <v>16</v>
      </c>
      <c r="D26">
        <v>989</v>
      </c>
      <c r="E26" s="1">
        <v>320.22</v>
      </c>
      <c r="F26" s="1">
        <f>D26*E26</f>
        <v>316697.58</v>
      </c>
      <c r="G26" t="s">
        <v>20</v>
      </c>
    </row>
    <row r="27" spans="1:7" x14ac:dyDescent="0.25">
      <c r="A27">
        <v>20</v>
      </c>
      <c r="B27" t="s">
        <v>43</v>
      </c>
      <c r="C27" t="s">
        <v>19</v>
      </c>
      <c r="D27">
        <v>630</v>
      </c>
      <c r="E27" s="1">
        <v>251.54</v>
      </c>
      <c r="F27" s="1">
        <f>D27*E27</f>
        <v>158470.2</v>
      </c>
      <c r="G27" t="s">
        <v>20</v>
      </c>
    </row>
    <row r="28" spans="1:7" x14ac:dyDescent="0.25">
      <c r="A28">
        <v>21</v>
      </c>
      <c r="B28" t="s">
        <v>44</v>
      </c>
      <c r="C28" t="s">
        <v>16</v>
      </c>
      <c r="D28">
        <v>156</v>
      </c>
      <c r="E28" s="1">
        <v>99.32</v>
      </c>
      <c r="F28" s="1">
        <f>D28*E28</f>
        <v>15493.92</v>
      </c>
      <c r="G28" t="s">
        <v>41</v>
      </c>
    </row>
    <row r="29" spans="1:7" x14ac:dyDescent="0.25">
      <c r="A29">
        <v>22</v>
      </c>
      <c r="B29" t="s">
        <v>45</v>
      </c>
      <c r="C29" t="s">
        <v>16</v>
      </c>
      <c r="D29">
        <v>111</v>
      </c>
      <c r="E29" s="1">
        <v>95.37</v>
      </c>
      <c r="F29" s="1">
        <f>D29*E29</f>
        <v>10586.07</v>
      </c>
      <c r="G29" t="s">
        <v>20</v>
      </c>
    </row>
    <row r="30" spans="1:7" x14ac:dyDescent="0.25">
      <c r="A30">
        <v>23</v>
      </c>
      <c r="B30" t="s">
        <v>46</v>
      </c>
      <c r="C30" t="s">
        <v>16</v>
      </c>
      <c r="D30">
        <v>438</v>
      </c>
      <c r="E30" s="1">
        <v>230.74</v>
      </c>
      <c r="F30" s="1">
        <f>D30*E30</f>
        <v>101064.12</v>
      </c>
      <c r="G30" t="s">
        <v>38</v>
      </c>
    </row>
    <row r="31" spans="1:7" x14ac:dyDescent="0.25">
      <c r="A31">
        <v>24</v>
      </c>
      <c r="B31" t="s">
        <v>47</v>
      </c>
      <c r="C31" t="s">
        <v>28</v>
      </c>
      <c r="D31">
        <v>442</v>
      </c>
      <c r="E31" s="1">
        <v>183.16</v>
      </c>
      <c r="F31" s="1">
        <f>D31*E31</f>
        <v>80956.72</v>
      </c>
      <c r="G31" t="s">
        <v>41</v>
      </c>
    </row>
    <row r="32" spans="1:7" x14ac:dyDescent="0.25">
      <c r="A32">
        <v>25</v>
      </c>
      <c r="B32" t="s">
        <v>48</v>
      </c>
      <c r="C32" t="s">
        <v>30</v>
      </c>
      <c r="D32">
        <v>1</v>
      </c>
      <c r="E32" s="1">
        <v>11315.47</v>
      </c>
      <c r="F32" s="1">
        <f>D32*E32</f>
        <v>11315.47</v>
      </c>
      <c r="G32" t="s">
        <v>49</v>
      </c>
    </row>
    <row r="33" spans="1:7" x14ac:dyDescent="0.25">
      <c r="A33">
        <v>26</v>
      </c>
      <c r="B33" t="s">
        <v>50</v>
      </c>
      <c r="C33" t="s">
        <v>16</v>
      </c>
      <c r="D33">
        <v>3</v>
      </c>
      <c r="E33" s="1">
        <v>183320.96</v>
      </c>
      <c r="F33" s="1">
        <f>D33*E33</f>
        <v>549962.88</v>
      </c>
      <c r="G33" t="s">
        <v>20</v>
      </c>
    </row>
    <row r="34" spans="1:7" x14ac:dyDescent="0.25">
      <c r="A34">
        <v>27</v>
      </c>
      <c r="B34" t="s">
        <v>51</v>
      </c>
      <c r="C34" t="s">
        <v>16</v>
      </c>
      <c r="D34">
        <v>52</v>
      </c>
      <c r="E34" s="1">
        <v>687.15</v>
      </c>
      <c r="F34" s="1">
        <f>D34*E34</f>
        <v>35731.8</v>
      </c>
      <c r="G34" t="s">
        <v>20</v>
      </c>
    </row>
    <row r="35" spans="1:7" x14ac:dyDescent="0.25">
      <c r="A35">
        <v>28</v>
      </c>
      <c r="B35" t="s">
        <v>52</v>
      </c>
      <c r="C35" t="s">
        <v>19</v>
      </c>
      <c r="D35">
        <v>816</v>
      </c>
      <c r="E35" s="1">
        <v>9.64</v>
      </c>
      <c r="F35" s="1">
        <f>D35*E35</f>
        <v>7866.24</v>
      </c>
      <c r="G35" t="s">
        <v>49</v>
      </c>
    </row>
    <row r="36" spans="1:7" x14ac:dyDescent="0.25">
      <c r="A36">
        <v>29</v>
      </c>
      <c r="B36" t="s">
        <v>53</v>
      </c>
      <c r="C36" t="s">
        <v>16</v>
      </c>
      <c r="D36">
        <v>58</v>
      </c>
      <c r="E36" s="1">
        <v>1073.39</v>
      </c>
      <c r="F36" s="1">
        <f>D36*E36</f>
        <v>62256.62</v>
      </c>
      <c r="G36" t="s">
        <v>41</v>
      </c>
    </row>
    <row r="37" spans="1:7" x14ac:dyDescent="0.25">
      <c r="A37">
        <v>30</v>
      </c>
      <c r="B37" t="s">
        <v>54</v>
      </c>
      <c r="C37" t="s">
        <v>36</v>
      </c>
      <c r="D37">
        <v>23</v>
      </c>
      <c r="E37" s="1">
        <v>2355.99</v>
      </c>
      <c r="F37" s="1">
        <f>D37*E37</f>
        <v>54187.77</v>
      </c>
      <c r="G37" t="s">
        <v>38</v>
      </c>
    </row>
    <row r="38" spans="5:6" x14ac:dyDescent="0.25">
      <c r="E38" s="7" t="s">
        <v>55</v>
      </c>
      <c r="F38" s="7">
        <f>SUM(F8:F37)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Ведомость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Formula Studio</dc:creator>
  <dc:title/>
  <dc:subject/>
  <dc:description/>
  <cp:keywords/>
  <cp:category/>
  <cp:lastModifiedBy>Unknown</cp:lastModifiedBy>
  <dcterms:created xsi:type="dcterms:W3CDTF">2026-10-17T22:49:37Z</dcterms:created>
  <dcterms:modified xsi:type="dcterms:W3CDTF">2026-10-17T22:49:37Z</dcterms:modified>
</cp:coreProperties>
</file>